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4" customWidth="1" min="6" max="6"/>
    <col width="3" customWidth="1" min="7" max="7"/>
    <col width="4" customWidth="1" min="8" max="8"/>
  </cols>
  <sheetData>
    <row r="1">
      <c r="A1" s="1" t="inlineStr">
        <is>
          <t>Category</t>
        </is>
      </c>
      <c r="B1" s="1" t="inlineStr">
        <is>
          <t>Planned (₸)</t>
        </is>
      </c>
      <c r="C1" s="1" t="inlineStr">
        <is>
          <t>Spent (₸)</t>
        </is>
      </c>
      <c r="D1" s="1" t="inlineStr">
        <is>
          <t>Left (₸)</t>
        </is>
      </c>
      <c r="E1" s="1" t="inlineStr">
        <is>
          <t>% used</t>
        </is>
      </c>
      <c r="F1" s="1" t="inlineStr">
        <is>
          <t>Per week (₸)</t>
        </is>
      </c>
      <c r="H1" s="1" t="inlineStr">
        <is>
          <t>Updated</t>
        </is>
      </c>
    </row>
    <row r="2">
      <c r="A2" t="inlineStr">
        <is>
          <t>Rent share</t>
        </is>
      </c>
      <c r="B2" t="n">
        <v>45000</v>
      </c>
      <c r="C2" t="n">
        <v>45000</v>
      </c>
      <c r="D2">
        <f>B2-C2</f>
        <v/>
      </c>
      <c r="E2">
        <f>C2/B2</f>
        <v/>
      </c>
      <c r="F2">
        <f>B2/4</f>
        <v/>
      </c>
      <c r="H2" s="2" t="n">
        <v>45764</v>
      </c>
    </row>
    <row r="3">
      <c r="A3" t="inlineStr">
        <is>
          <t>Food</t>
        </is>
      </c>
      <c r="B3" t="n">
        <v>39000</v>
      </c>
      <c r="C3" t="n">
        <v>39520</v>
      </c>
      <c r="D3">
        <f>B3-C3</f>
        <v/>
      </c>
      <c r="E3">
        <f>C3/B3</f>
        <v/>
      </c>
      <c r="F3">
        <f>#REF!/4</f>
        <v/>
      </c>
    </row>
    <row r="4">
      <c r="A4" t="inlineStr">
        <is>
          <t>Transport</t>
        </is>
      </c>
      <c r="B4" t="n">
        <v>10500</v>
      </c>
      <c r="C4" t="n">
        <v>12260</v>
      </c>
      <c r="D4">
        <f>B4-C4</f>
        <v/>
      </c>
      <c r="E4">
        <f>C4/B4</f>
        <v/>
      </c>
      <c r="F4">
        <f>B4/4</f>
        <v/>
      </c>
    </row>
    <row r="5">
      <c r="A5" t="inlineStr">
        <is>
          <t>Gifts</t>
        </is>
      </c>
      <c r="B5" t="n">
        <v>0</v>
      </c>
      <c r="C5" t="n">
        <v>3640</v>
      </c>
      <c r="D5">
        <f>B5-C5</f>
        <v/>
      </c>
      <c r="E5">
        <f>C5/B5</f>
        <v/>
      </c>
      <c r="F5">
        <f>B5/4</f>
        <v/>
      </c>
    </row>
    <row r="6">
      <c r="A6" t="inlineStr">
        <is>
          <t>Mobile and internet</t>
        </is>
      </c>
      <c r="B6" t="n">
        <v>5000</v>
      </c>
      <c r="C6" t="n">
        <v>4490</v>
      </c>
      <c r="D6">
        <f>B6-C6</f>
        <v/>
      </c>
      <c r="E6">
        <f>C6/B6</f>
        <v/>
      </c>
      <c r="F6">
        <f>B6/4</f>
        <v/>
      </c>
    </row>
    <row r="7">
      <c r="A7" t="inlineStr">
        <is>
          <t>Clothes</t>
        </is>
      </c>
      <c r="B7" t="n">
        <v>19000</v>
      </c>
      <c r="C7" t="inlineStr">
        <is>
          <t>n/a</t>
        </is>
      </c>
      <c r="D7">
        <f>B7-C7</f>
        <v/>
      </c>
      <c r="E7">
        <f>C7/B7</f>
        <v/>
      </c>
      <c r="F7">
        <f>B7/4</f>
        <v/>
      </c>
    </row>
    <row r="8">
      <c r="A8" t="inlineStr">
        <is>
          <t>Books and courses</t>
        </is>
      </c>
      <c r="B8" t="n">
        <v>19000</v>
      </c>
      <c r="C8" t="n">
        <v>18300</v>
      </c>
      <c r="D8">
        <f>B8-C8</f>
        <v/>
      </c>
      <c r="E8">
        <f>C8/B8</f>
        <v/>
      </c>
      <c r="F8">
        <f>B8/4</f>
        <v/>
      </c>
    </row>
    <row r="9">
      <c r="A9" t="inlineStr">
        <is>
          <t>Cafe</t>
        </is>
      </c>
      <c r="B9" t="n">
        <v>18000</v>
      </c>
      <c r="C9" t="n">
        <v>16500</v>
      </c>
      <c r="D9">
        <f>B9-C9</f>
        <v/>
      </c>
      <c r="E9">
        <f>C9/B9</f>
        <v/>
      </c>
      <c r="F9">
        <f>B9/4</f>
        <v/>
      </c>
    </row>
    <row r="10">
      <c r="A10" t="inlineStr">
        <is>
          <t>Savings</t>
        </is>
      </c>
      <c r="B10" t="n">
        <v>15000</v>
      </c>
      <c r="C10" t="n">
        <v>15000</v>
      </c>
      <c r="D10">
        <f>B10-C10</f>
        <v/>
      </c>
      <c r="E10">
        <f>C10/B10</f>
        <v/>
      </c>
      <c r="F10">
        <f>B10/4</f>
        <v/>
      </c>
    </row>
    <row r="11">
      <c r="A11" t="inlineStr">
        <is>
          <t>Total</t>
        </is>
      </c>
      <c r="B11">
        <f>SUMM(B2:B10)</f>
        <v/>
      </c>
      <c r="C11">
        <f>SUM(C2:C10)</f>
        <v/>
      </c>
      <c r="D11">
        <f>B11-C11</f>
        <v/>
      </c>
      <c r="E11">
        <f>C11/B11</f>
        <v/>
      </c>
      <c r="F11">
        <f>B11/4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2026-10-04T16:13:03Z</dcterms:created>
  <dcterms:modified xsi:type="dcterms:W3CDTF">2026-10-04T16:13:03Z</dcterms:modified>
</cp:coreProperties>
</file>